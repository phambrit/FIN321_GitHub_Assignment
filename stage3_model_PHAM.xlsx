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ritney/Downloads/"/>
    </mc:Choice>
  </mc:AlternateContent>
  <xr:revisionPtr revIDLastSave="0" documentId="8_{5DECDC6F-042D-2D41-BC19-8FDBE622F6A4}" xr6:coauthVersionLast="47" xr6:coauthVersionMax="47" xr10:uidLastSave="{00000000-0000-0000-0000-000000000000}"/>
  <bookViews>
    <workbookView xWindow="0" yWindow="680" windowWidth="30240" windowHeight="17380" activeTab="4" xr2:uid="{00000000-000D-0000-FFFF-FFFF00000000}"/>
  </bookViews>
  <sheets>
    <sheet name="Inputs" sheetId="1" r:id="rId1"/>
    <sheet name="Forward &amp; Money Market" sheetId="3" r:id="rId2"/>
    <sheet name="Option Hedges" sheetId="4" r:id="rId3"/>
    <sheet name="Sensitivity Grid" sheetId="2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2" i="5"/>
  <c r="B3" i="3"/>
  <c r="B4" i="3" s="1"/>
  <c r="B5" i="3" s="1"/>
  <c r="B6" i="3" s="1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B2" i="3"/>
</calcChain>
</file>

<file path=xl/sharedStrings.xml><?xml version="1.0" encoding="utf-8"?>
<sst xmlns="http://schemas.openxmlformats.org/spreadsheetml/2006/main" count="51" uniqueCount="46">
  <si>
    <t>Variable</t>
  </si>
  <si>
    <t>Description</t>
  </si>
  <si>
    <t>Unit</t>
  </si>
  <si>
    <t>Example</t>
  </si>
  <si>
    <t>FC_AMT</t>
  </si>
  <si>
    <t>Foreign-currency receivable</t>
  </si>
  <si>
    <t>EUR</t>
  </si>
  <si>
    <t>S0</t>
  </si>
  <si>
    <t>Spot rate</t>
  </si>
  <si>
    <t>USD/EUR</t>
  </si>
  <si>
    <t>F0</t>
  </si>
  <si>
    <t>Forward rate</t>
  </si>
  <si>
    <t>r_USD</t>
  </si>
  <si>
    <t>USD interest rate</t>
  </si>
  <si>
    <t>%</t>
  </si>
  <si>
    <t>r_EUR</t>
  </si>
  <si>
    <t>EUR interest rate</t>
  </si>
  <si>
    <t>t</t>
  </si>
  <si>
    <t>Time to maturity (years)</t>
  </si>
  <si>
    <t>Years</t>
  </si>
  <si>
    <t>K_put</t>
  </si>
  <si>
    <t>Put strike price</t>
  </si>
  <si>
    <t>K_call</t>
  </si>
  <si>
    <t>Call strike price</t>
  </si>
  <si>
    <t>Premium_put</t>
  </si>
  <si>
    <t>Put option premium</t>
  </si>
  <si>
    <t>USD</t>
  </si>
  <si>
    <t>Premium_call</t>
  </si>
  <si>
    <t>Call option premium</t>
  </si>
  <si>
    <t>S_T (Spot at maturity)</t>
  </si>
  <si>
    <t>Calculation</t>
  </si>
  <si>
    <t>Formula / Description</t>
  </si>
  <si>
    <t>Forward Hedge USD Proceeds</t>
  </si>
  <si>
    <t>Money Market Hedge - EUR PV</t>
  </si>
  <si>
    <t>Convert EUR to USD at Spot</t>
  </si>
  <si>
    <t>Invest USD at r_USD</t>
  </si>
  <si>
    <t>Money Market Hedge USD Proceeds</t>
  </si>
  <si>
    <t>S_T (Spot at Maturity)</t>
  </si>
  <si>
    <t>Put Proceeds</t>
  </si>
  <si>
    <t>Call Proceeds</t>
  </si>
  <si>
    <t>Hedge Strategy</t>
  </si>
  <si>
    <t>USD Proceeds</t>
  </si>
  <si>
    <t>Forward Hedge</t>
  </si>
  <si>
    <t>Money Market Hedge</t>
  </si>
  <si>
    <t>Notes:</t>
  </si>
  <si>
    <t>Put and Call proceeds vary with S_T (see Option Hedges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</si>
</sst>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Option Hedge Outcomes vs. S_T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'Option Hedges'!$B$1</c:f>
              <c:strCache>
                <c:ptCount val="1"/>
                <c:pt idx="0">
                  <c:v>Put Proceeds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'Option Hedges'!$A$2:$A$12</c:f>
              <c:numCache>
                <c:formatCode>General</c:formatCode>
                <c:ptCount val="11"/>
                <c:pt idx="0">
                  <c:v>1.0069999999999999</c:v>
                </c:pt>
                <c:pt idx="1">
                  <c:v>1.0176000000000001</c:v>
                </c:pt>
                <c:pt idx="2">
                  <c:v>1.0282</c:v>
                </c:pt>
                <c:pt idx="3">
                  <c:v>1.0387999999999999</c:v>
                </c:pt>
                <c:pt idx="4">
                  <c:v>1.0494000000000001</c:v>
                </c:pt>
                <c:pt idx="5">
                  <c:v>1.06</c:v>
                </c:pt>
                <c:pt idx="6">
                  <c:v>1.0706</c:v>
                </c:pt>
                <c:pt idx="7">
                  <c:v>1.0811999999999999</c:v>
                </c:pt>
                <c:pt idx="8">
                  <c:v>1.0918000000000001</c:v>
                </c:pt>
                <c:pt idx="9">
                  <c:v>1.1024</c:v>
                </c:pt>
                <c:pt idx="10">
                  <c:v>1.113</c:v>
                </c:pt>
              </c:numCache>
            </c:numRef>
          </c:cat>
          <c:val>
            <c:numRef>
              <c:f>'Option Hedges'!$B$2:$B$12</c:f>
              <c:numCache>
                <c:formatCode>General</c:formatCode>
                <c:ptCount val="11"/>
                <c:pt idx="0">
                  <c:v>-1.06</c:v>
                </c:pt>
                <c:pt idx="1">
                  <c:v>-1.06</c:v>
                </c:pt>
                <c:pt idx="2">
                  <c:v>-1.06</c:v>
                </c:pt>
                <c:pt idx="3">
                  <c:v>-1.06</c:v>
                </c:pt>
                <c:pt idx="4">
                  <c:v>-1.06</c:v>
                </c:pt>
                <c:pt idx="5">
                  <c:v>-1.06</c:v>
                </c:pt>
                <c:pt idx="6">
                  <c:v>-1.06</c:v>
                </c:pt>
                <c:pt idx="7">
                  <c:v>-1.06</c:v>
                </c:pt>
                <c:pt idx="8">
                  <c:v>-1.06</c:v>
                </c:pt>
                <c:pt idx="9">
                  <c:v>-1.06</c:v>
                </c:pt>
                <c:pt idx="10">
                  <c:v>-1.06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4-B444-8476-663CBBB57334}"/>
            </c:ext>
          </c:extLst>
        </c:ser>
        <c:ser>
          <c:idx val="1"/>
          <c:order val="1"/>
          <c:tx>
            <c:strRef>
              <c:f>'Option Hedges'!$C$1</c:f>
              <c:strCache>
                <c:ptCount val="1"/>
                <c:pt idx="0">
                  <c:v>Call Proceeds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'Option Hedges'!$A$2:$A$12</c:f>
              <c:numCache>
                <c:formatCode>General</c:formatCode>
                <c:ptCount val="11"/>
                <c:pt idx="0">
                  <c:v>1.0069999999999999</c:v>
                </c:pt>
                <c:pt idx="1">
                  <c:v>1.0176000000000001</c:v>
                </c:pt>
                <c:pt idx="2">
                  <c:v>1.0282</c:v>
                </c:pt>
                <c:pt idx="3">
                  <c:v>1.0387999999999999</c:v>
                </c:pt>
                <c:pt idx="4">
                  <c:v>1.0494000000000001</c:v>
                </c:pt>
                <c:pt idx="5">
                  <c:v>1.06</c:v>
                </c:pt>
                <c:pt idx="6">
                  <c:v>1.0706</c:v>
                </c:pt>
                <c:pt idx="7">
                  <c:v>1.0811999999999999</c:v>
                </c:pt>
                <c:pt idx="8">
                  <c:v>1.0918000000000001</c:v>
                </c:pt>
                <c:pt idx="9">
                  <c:v>1.1024</c:v>
                </c:pt>
                <c:pt idx="10">
                  <c:v>1.113</c:v>
                </c:pt>
              </c:numCache>
            </c:numRef>
          </c:cat>
          <c:val>
            <c:numRef>
              <c:f>'Option Hedges'!$C$2:$C$12</c:f>
              <c:numCache>
                <c:formatCode>General</c:formatCode>
                <c:ptCount val="11"/>
                <c:pt idx="0">
                  <c:v>-1.4999999999999999E-2</c:v>
                </c:pt>
                <c:pt idx="1">
                  <c:v>-1.4999999999999999E-2</c:v>
                </c:pt>
                <c:pt idx="2">
                  <c:v>-1.4999999999999999E-2</c:v>
                </c:pt>
                <c:pt idx="3">
                  <c:v>-1.4999999999999999E-2</c:v>
                </c:pt>
                <c:pt idx="4">
                  <c:v>-1.4999999999999999E-2</c:v>
                </c:pt>
                <c:pt idx="5">
                  <c:v>-1.4999999999999999E-2</c:v>
                </c:pt>
                <c:pt idx="6">
                  <c:v>47699.984999999746</c:v>
                </c:pt>
                <c:pt idx="7">
                  <c:v>95399.984999999491</c:v>
                </c:pt>
                <c:pt idx="8">
                  <c:v>143099.98500000022</c:v>
                </c:pt>
                <c:pt idx="9">
                  <c:v>190799.98499999996</c:v>
                </c:pt>
                <c:pt idx="10">
                  <c:v>238499.98499999969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4-B444-8476-663CBBB5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 Rate at Maturity (S_T)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11.6640625" bestFit="1" customWidth="1"/>
    <col min="2" max="2" width="22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s="2">
        <v>4500000</v>
      </c>
    </row>
    <row r="3" spans="1:4" x14ac:dyDescent="0.2">
      <c r="A3" t="s">
        <v>7</v>
      </c>
      <c r="B3" t="s">
        <v>8</v>
      </c>
      <c r="C3" t="s">
        <v>9</v>
      </c>
      <c r="D3" s="2">
        <v>1.06</v>
      </c>
    </row>
    <row r="4" spans="1:4" x14ac:dyDescent="0.2">
      <c r="A4" t="s">
        <v>10</v>
      </c>
      <c r="B4" t="s">
        <v>11</v>
      </c>
      <c r="C4" t="s">
        <v>9</v>
      </c>
      <c r="D4" s="2">
        <v>1.0874999999999999</v>
      </c>
    </row>
    <row r="5" spans="1:4" x14ac:dyDescent="0.2">
      <c r="A5" t="s">
        <v>12</v>
      </c>
      <c r="B5" t="s">
        <v>13</v>
      </c>
      <c r="C5" t="s">
        <v>14</v>
      </c>
      <c r="D5" s="2">
        <v>0.04</v>
      </c>
    </row>
    <row r="6" spans="1:4" x14ac:dyDescent="0.2">
      <c r="A6" t="s">
        <v>15</v>
      </c>
      <c r="B6" t="s">
        <v>16</v>
      </c>
      <c r="C6" t="s">
        <v>14</v>
      </c>
      <c r="D6" s="2">
        <v>0.02</v>
      </c>
    </row>
    <row r="7" spans="1:4" x14ac:dyDescent="0.2">
      <c r="A7" t="s">
        <v>17</v>
      </c>
      <c r="B7" t="s">
        <v>18</v>
      </c>
      <c r="C7" t="s">
        <v>19</v>
      </c>
      <c r="D7" s="2">
        <v>1</v>
      </c>
    </row>
    <row r="8" spans="1:4" x14ac:dyDescent="0.2">
      <c r="A8" t="s">
        <v>20</v>
      </c>
      <c r="B8" t="s">
        <v>21</v>
      </c>
      <c r="C8" t="s">
        <v>9</v>
      </c>
      <c r="D8" s="2">
        <v>1.06</v>
      </c>
    </row>
    <row r="9" spans="1:4" x14ac:dyDescent="0.2">
      <c r="A9" t="s">
        <v>22</v>
      </c>
      <c r="B9" t="s">
        <v>23</v>
      </c>
      <c r="C9" t="s">
        <v>9</v>
      </c>
      <c r="D9" s="2">
        <v>1.06</v>
      </c>
    </row>
    <row r="10" spans="1:4" x14ac:dyDescent="0.2">
      <c r="A10" t="s">
        <v>24</v>
      </c>
      <c r="B10" t="s">
        <v>25</v>
      </c>
      <c r="C10" t="s">
        <v>26</v>
      </c>
      <c r="D10" s="2">
        <v>1.4999999999999999E-2</v>
      </c>
    </row>
    <row r="11" spans="1:4" x14ac:dyDescent="0.2">
      <c r="A11" t="s">
        <v>27</v>
      </c>
      <c r="B11" t="s">
        <v>28</v>
      </c>
      <c r="C11" t="s">
        <v>26</v>
      </c>
      <c r="D11" s="2">
        <v>1.7999999999999999E-2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8.1640625" bestFit="1" customWidth="1"/>
    <col min="2" max="2" width="18.1640625" bestFit="1" customWidth="1"/>
  </cols>
  <sheetData>
    <row r="1" spans="1:2" x14ac:dyDescent="0.2">
      <c r="A1" s="3" t="s">
        <v>30</v>
      </c>
      <c r="B1" s="3" t="s">
        <v>31</v>
      </c>
    </row>
    <row r="2" spans="1:2" x14ac:dyDescent="0.2">
      <c r="A2" t="s">
        <v>32</v>
      </c>
      <c r="B2">
        <f>Inputs!D2 * Inputs!D3</f>
        <v>4770000</v>
      </c>
    </row>
    <row r="3" spans="1:2" x14ac:dyDescent="0.2">
      <c r="A3" t="s">
        <v>33</v>
      </c>
      <c r="B3">
        <f>Inputs!D2 / (1 + Inputs!D5 * Inputs!D6)</f>
        <v>4496402.8776978422</v>
      </c>
    </row>
    <row r="4" spans="1:2" x14ac:dyDescent="0.2">
      <c r="A4" t="s">
        <v>34</v>
      </c>
      <c r="B4">
        <f>B3 * Inputs!D3</f>
        <v>4766187.0503597129</v>
      </c>
    </row>
    <row r="5" spans="1:2" x14ac:dyDescent="0.2">
      <c r="A5" t="s">
        <v>35</v>
      </c>
      <c r="B5">
        <f>B4 * (1 + Inputs!D4 * Inputs!D6)</f>
        <v>4869851.6187050361</v>
      </c>
    </row>
    <row r="6" spans="1:2" x14ac:dyDescent="0.2">
      <c r="A6" t="s">
        <v>36</v>
      </c>
      <c r="B6">
        <f>B5</f>
        <v>4869851.6187050361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K27" sqref="K27"/>
    </sheetView>
  </sheetViews>
  <sheetFormatPr baseColWidth="10" defaultColWidth="8.83203125" defaultRowHeight="15" x14ac:dyDescent="0.2"/>
  <cols>
    <col min="1" max="1" width="17.6640625" bestFit="1" customWidth="1"/>
    <col min="2" max="2" width="11.33203125" bestFit="1" customWidth="1"/>
    <col min="3" max="3" width="11.5" bestFit="1" customWidth="1"/>
  </cols>
  <sheetData>
    <row r="1" spans="1:3" x14ac:dyDescent="0.2">
      <c r="A1" s="3" t="s">
        <v>37</v>
      </c>
      <c r="B1" s="3" t="s">
        <v>38</v>
      </c>
      <c r="C1" s="3" t="s">
        <v>39</v>
      </c>
    </row>
    <row r="2" spans="1:3" x14ac:dyDescent="0.2">
      <c r="A2">
        <v>1.0069999999999999</v>
      </c>
      <c r="B2">
        <f>MAX(Inputs!D7 - A2, 0) * Inputs!D2 - Inputs!D9</f>
        <v>-1.06</v>
      </c>
      <c r="C2">
        <f>MAX(A2 - Inputs!D8, 0) * Inputs!D2 - Inputs!D10</f>
        <v>-1.4999999999999999E-2</v>
      </c>
    </row>
    <row r="3" spans="1:3" x14ac:dyDescent="0.2">
      <c r="A3">
        <v>1.0176000000000001</v>
      </c>
      <c r="B3">
        <f>MAX(Inputs!D7 - A3, 0) * Inputs!D2 - Inputs!D9</f>
        <v>-1.06</v>
      </c>
      <c r="C3">
        <f>MAX(A3 - Inputs!D8, 0) * Inputs!D2 - Inputs!D10</f>
        <v>-1.4999999999999999E-2</v>
      </c>
    </row>
    <row r="4" spans="1:3" x14ac:dyDescent="0.2">
      <c r="A4">
        <v>1.0282</v>
      </c>
      <c r="B4">
        <f>MAX(Inputs!D7 - A4, 0) * Inputs!D2 - Inputs!D9</f>
        <v>-1.06</v>
      </c>
      <c r="C4">
        <f>MAX(A4 - Inputs!D8, 0) * Inputs!D2 - Inputs!D10</f>
        <v>-1.4999999999999999E-2</v>
      </c>
    </row>
    <row r="5" spans="1:3" x14ac:dyDescent="0.2">
      <c r="A5">
        <v>1.0387999999999999</v>
      </c>
      <c r="B5">
        <f>MAX(Inputs!D7 - A5, 0) * Inputs!D2 - Inputs!D9</f>
        <v>-1.06</v>
      </c>
      <c r="C5">
        <f>MAX(A5 - Inputs!D8, 0) * Inputs!D2 - Inputs!D10</f>
        <v>-1.4999999999999999E-2</v>
      </c>
    </row>
    <row r="6" spans="1:3" x14ac:dyDescent="0.2">
      <c r="A6">
        <v>1.0494000000000001</v>
      </c>
      <c r="B6">
        <f>MAX(Inputs!D7 - A6, 0) * Inputs!D2 - Inputs!D9</f>
        <v>-1.06</v>
      </c>
      <c r="C6">
        <f>MAX(A6 - Inputs!D8, 0) * Inputs!D2 - Inputs!D10</f>
        <v>-1.4999999999999999E-2</v>
      </c>
    </row>
    <row r="7" spans="1:3" x14ac:dyDescent="0.2">
      <c r="A7">
        <v>1.06</v>
      </c>
      <c r="B7">
        <f>MAX(Inputs!D7 - A7, 0) * Inputs!D2 - Inputs!D9</f>
        <v>-1.06</v>
      </c>
      <c r="C7">
        <f>MAX(A7 - Inputs!D8, 0) * Inputs!D2 - Inputs!D10</f>
        <v>-1.4999999999999999E-2</v>
      </c>
    </row>
    <row r="8" spans="1:3" x14ac:dyDescent="0.2">
      <c r="A8">
        <v>1.0706</v>
      </c>
      <c r="B8">
        <f>MAX(Inputs!D7 - A8, 0) * Inputs!D2 - Inputs!D9</f>
        <v>-1.06</v>
      </c>
      <c r="C8">
        <f>MAX(A8 - Inputs!D8, 0) * Inputs!D2 - Inputs!D10</f>
        <v>47699.984999999746</v>
      </c>
    </row>
    <row r="9" spans="1:3" x14ac:dyDescent="0.2">
      <c r="A9">
        <v>1.0811999999999999</v>
      </c>
      <c r="B9">
        <f>MAX(Inputs!D7 - A9, 0) * Inputs!D2 - Inputs!D9</f>
        <v>-1.06</v>
      </c>
      <c r="C9">
        <f>MAX(A9 - Inputs!D8, 0) * Inputs!D2 - Inputs!D10</f>
        <v>95399.984999999491</v>
      </c>
    </row>
    <row r="10" spans="1:3" x14ac:dyDescent="0.2">
      <c r="A10">
        <v>1.0918000000000001</v>
      </c>
      <c r="B10">
        <f>MAX(Inputs!D7 - A10, 0) * Inputs!D2 - Inputs!D9</f>
        <v>-1.06</v>
      </c>
      <c r="C10">
        <f>MAX(A10 - Inputs!D8, 0) * Inputs!D2 - Inputs!D10</f>
        <v>143099.98500000022</v>
      </c>
    </row>
    <row r="11" spans="1:3" x14ac:dyDescent="0.2">
      <c r="A11">
        <v>1.1024</v>
      </c>
      <c r="B11">
        <f>MAX(Inputs!D7 - A11, 0) * Inputs!D2 - Inputs!D9</f>
        <v>-1.06</v>
      </c>
      <c r="C11">
        <f>MAX(A11 - Inputs!D8, 0) * Inputs!D2 - Inputs!D10</f>
        <v>190799.98499999996</v>
      </c>
    </row>
    <row r="12" spans="1:3" x14ac:dyDescent="0.2">
      <c r="A12">
        <v>1.113</v>
      </c>
      <c r="B12">
        <f>MAX(Inputs!D7 - A12, 0) * Inputs!D2 - Inputs!D9</f>
        <v>-1.06</v>
      </c>
      <c r="C12">
        <f>MAX(A12 - Inputs!D8, 0) * Inputs!D2 - Inputs!D10</f>
        <v>238499.98499999969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3203125" defaultRowHeight="15" x14ac:dyDescent="0.2"/>
  <cols>
    <col min="1" max="1" width="17.5" bestFit="1" customWidth="1"/>
  </cols>
  <sheetData>
    <row r="1" spans="1:1" x14ac:dyDescent="0.2">
      <c r="A1" s="1" t="s">
        <v>29</v>
      </c>
    </row>
    <row r="2" spans="1:1" x14ac:dyDescent="0.2">
      <c r="A2">
        <v>1.0069999999999999</v>
      </c>
    </row>
    <row r="3" spans="1:1" x14ac:dyDescent="0.2">
      <c r="A3">
        <v>1.0176000000000001</v>
      </c>
    </row>
    <row r="4" spans="1:1" x14ac:dyDescent="0.2">
      <c r="A4">
        <v>1.0282</v>
      </c>
    </row>
    <row r="5" spans="1:1" x14ac:dyDescent="0.2">
      <c r="A5">
        <v>1.0387999999999999</v>
      </c>
    </row>
    <row r="6" spans="1:1" x14ac:dyDescent="0.2">
      <c r="A6">
        <v>1.0494000000000001</v>
      </c>
    </row>
    <row r="7" spans="1:1" x14ac:dyDescent="0.2">
      <c r="A7">
        <v>1.06</v>
      </c>
    </row>
    <row r="8" spans="1:1" x14ac:dyDescent="0.2">
      <c r="A8">
        <v>1.0706</v>
      </c>
    </row>
    <row r="9" spans="1:1" x14ac:dyDescent="0.2">
      <c r="A9">
        <v>1.0811999999999999</v>
      </c>
    </row>
    <row r="10" spans="1:1" x14ac:dyDescent="0.2">
      <c r="A10">
        <v>1.0918000000000001</v>
      </c>
    </row>
    <row r="11" spans="1:1" x14ac:dyDescent="0.2">
      <c r="A11">
        <v>1.1024</v>
      </c>
    </row>
    <row r="12" spans="1:1" x14ac:dyDescent="0.2">
      <c r="A12">
        <v>1.113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8.5" customWidth="1"/>
    <col min="2" max="2" width="12.1640625" bestFit="1" customWidth="1"/>
  </cols>
  <sheetData>
    <row r="1" spans="1:2" x14ac:dyDescent="0.2">
      <c r="A1" s="3" t="s">
        <v>40</v>
      </c>
      <c r="B1" s="3" t="s">
        <v>41</v>
      </c>
    </row>
    <row r="2" spans="1:2" x14ac:dyDescent="0.2">
      <c r="A2" t="s">
        <v>42</v>
      </c>
      <c r="B2">
        <f>'Forward &amp; Money Market'!B2</f>
        <v>4770000</v>
      </c>
    </row>
    <row r="3" spans="1:2" x14ac:dyDescent="0.2">
      <c r="A3" t="s">
        <v>43</v>
      </c>
      <c r="B3">
        <f>'Forward &amp; Money Market'!B6</f>
        <v>4869851.6187050361</v>
      </c>
    </row>
    <row r="5" spans="1:2" x14ac:dyDescent="0.2">
      <c r="A5" s="3" t="s">
        <v>44</v>
      </c>
    </row>
    <row r="6" spans="1:2" x14ac:dyDescent="0.2">
      <c r="A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Forward &amp; Money Market</vt:lpstr>
      <vt:lpstr>Option Hedges</vt:lpstr>
      <vt:lpstr>Sensitivity Grid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Britney Pham</cp:lastModifiedBy>
  <dcterms:created xsi:type="dcterms:W3CDTF">2025-11-22T09:35:48Z</dcterms:created>
  <dcterms:modified xsi:type="dcterms:W3CDTF">2025-11-22T09:51:25Z</dcterms:modified>
</cp:coreProperties>
</file>