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Formula_Map" sheetId="2" state="visible" r:id="rId2"/>
  </sheets>
  <definedNames>
    <definedName name="F0_in">Model!$D$7</definedName>
    <definedName name="FC_AMT">Model!$D$5</definedName>
    <definedName name="K_CALL">Model!$D$11</definedName>
    <definedName name="K_PUT">Model!$D$10</definedName>
    <definedName name="MM_BORROW_EUR_PV">Model!$D$27</definedName>
    <definedName name="MM_USD_NOW">Model!$D$28</definedName>
    <definedName name="PREM_CALL">Model!$D$13</definedName>
    <definedName name="PREM_PUT">Model!$D$12</definedName>
    <definedName name="R_FC">Model!$D$9</definedName>
    <definedName name="R_USD">Model!$D$8</definedName>
    <definedName name="S0_in">Model!$D$6</definedName>
    <definedName name="S_T_base">Model!$D$40</definedName>
    <definedName name="T_DAYS">Model!$D$14</definedName>
    <definedName name="T_YRS">Model!$D$18</definedName>
    <definedName name="USD_forward">Model!$D$23</definedName>
    <definedName name="USD_mm">Model!$D$29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"/>
    <numFmt numFmtId="165" formatCode="0.0000"/>
    <numFmt numFmtId="166" formatCode="$#,##0"/>
    <numFmt numFmtId="167" formatCode="$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2" applyAlignment="1" pivotButton="0" quotePrefix="0" xfId="0">
      <alignment horizontal="center"/>
    </xf>
    <xf numFmtId="0" fontId="2" fillId="3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164" fontId="0" fillId="3" borderId="2" pivotButton="0" quotePrefix="0" xfId="0"/>
    <xf numFmtId="165" fontId="0" fillId="3" borderId="2" pivotButton="0" quotePrefix="0" xfId="0"/>
    <xf numFmtId="10" fontId="0" fillId="3" borderId="2" pivotButton="0" quotePrefix="0" xfId="0"/>
    <xf numFmtId="1" fontId="0" fillId="3" borderId="2" pivotButton="0" quotePrefix="0" xfId="0"/>
    <xf numFmtId="0" fontId="0" fillId="4" borderId="2" pivotButton="0" quotePrefix="0" xfId="0"/>
    <xf numFmtId="165" fontId="0" fillId="4" borderId="2" pivotButton="0" quotePrefix="0" xfId="0"/>
    <xf numFmtId="166" fontId="0" fillId="5" borderId="2" pivotButton="0" quotePrefix="0" xfId="0"/>
    <xf numFmtId="165" fontId="0" fillId="6" borderId="2" pivotButton="0" quotePrefix="0" xfId="0"/>
    <xf numFmtId="167" fontId="0" fillId="6" borderId="2" pivotButton="0" quotePrefix="0" xfId="0"/>
    <xf numFmtId="167" fontId="0" fillId="5" borderId="2" pivotButton="0" quotePrefix="0" xfId="0"/>
    <xf numFmtId="0" fontId="2" fillId="5" borderId="2" pivotButton="0" quotePrefix="0" xfId="0"/>
    <xf numFmtId="166" fontId="0" fillId="6" borderId="2" pivotButton="0" quotePrefix="0" xfId="0"/>
    <xf numFmtId="0" fontId="3" fillId="0" borderId="0" applyAlignment="1" pivotButton="0" quotePrefix="0" xfId="0">
      <alignment wrapText="1"/>
    </xf>
    <xf numFmtId="10" fontId="0" fillId="3" borderId="2" pivotButton="0" quotePrefix="0" xfId="0"/>
    <xf numFmtId="166" fontId="0" fillId="5" borderId="2" pivotButton="0" quotePrefix="0" xfId="0"/>
    <xf numFmtId="167" fontId="0" fillId="6" borderId="2" pivotButton="0" quotePrefix="0" xfId="0"/>
    <xf numFmtId="167" fontId="0" fillId="5" borderId="2" pivotButton="0" quotePrefix="0" xfId="0"/>
    <xf numFmtId="166" fontId="0" fillId="6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USD Proceeds vs. Ending EURUSD (S_T)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Unhedged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Model!$B$46:$B$56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cat>
          <val>
            <numRef>
              <f>Model!$C$46:$C$56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ser>
          <idx val="1"/>
          <order val="1"/>
          <tx>
            <v>Forward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Model!$B$46:$B$56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cat>
          <val>
            <numRef>
              <f>Model!$D$46:$D$56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ser>
          <idx val="2"/>
          <order val="2"/>
          <tx>
            <v>Money Market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Model!$B$46:$B$56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cat>
          <val>
            <numRef>
              <f>Model!$E$46:$E$56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ser>
          <idx val="3"/>
          <order val="3"/>
          <tx>
            <v>Put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Model!$B$46:$B$56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cat>
          <val>
            <numRef>
              <f>Model!$F$46:$F$56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ser>
          <idx val="4"/>
          <order val="4"/>
          <tx>
            <v>Call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Model!$B$46:$B$56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cat>
          <val>
            <numRef>
              <f>Model!$G$46:$G$56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S_T (USD per EUR)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USD Proceeds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44</row>
      <rowOff>0</rowOff>
    </from>
    <to>
      <col>12</col>
      <colOff>723900</colOff>
      <row>62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tabSelected="1" workbookViewId="0">
      <selection activeCell="A1" sqref="A1"/>
    </sheetView>
  </sheetViews>
  <sheetFormatPr baseColWidth="8" defaultRowHeight="15"/>
  <cols>
    <col width="30.7109375" customWidth="1" min="1" max="1"/>
    <col width="40.7109375" customWidth="1" min="2" max="2"/>
    <col width="12.7109375" customWidth="1" min="3" max="3"/>
    <col width="18.7109375" customWidth="1" min="4" max="4"/>
    <col width="26.7109375" customWidth="1" min="5" max="5"/>
    <col width="18.7109375" customWidth="1" min="7" max="14"/>
  </cols>
  <sheetData>
    <row r="1">
      <c r="A1" s="1" t="inlineStr">
        <is>
          <t>Stage 4 – Deliverable 2: FX Hedging Workbook (EUR Receivable)</t>
        </is>
      </c>
    </row>
    <row r="2"/>
    <row r="3">
      <c r="A3" s="2" t="inlineStr">
        <is>
          <t>INPUTS (Yellow)</t>
        </is>
      </c>
    </row>
    <row r="4">
      <c r="A4" s="3" t="inlineStr">
        <is>
          <t>Named Range</t>
        </is>
      </c>
      <c r="B4" s="3" t="inlineStr">
        <is>
          <t>Description</t>
        </is>
      </c>
      <c r="C4" s="3" t="inlineStr">
        <is>
          <t>Unit</t>
        </is>
      </c>
      <c r="D4" s="3" t="inlineStr">
        <is>
          <t>Value</t>
        </is>
      </c>
      <c r="E4" s="3" t="inlineStr">
        <is>
          <t>Source/Notes</t>
        </is>
      </c>
    </row>
    <row r="5">
      <c r="A5" s="4" t="inlineStr">
        <is>
          <t>FC_AMT</t>
        </is>
      </c>
      <c r="B5" s="5" t="inlineStr">
        <is>
          <t>Foreign-currency receivable</t>
        </is>
      </c>
      <c r="C5" s="6" t="inlineStr">
        <is>
          <t>EUR</t>
        </is>
      </c>
      <c r="D5" s="7" t="n">
        <v>4500000</v>
      </c>
      <c r="E5" s="5" t="inlineStr">
        <is>
          <t>Scenario</t>
        </is>
      </c>
    </row>
    <row r="6">
      <c r="A6" s="4" t="inlineStr">
        <is>
          <t>S0_in</t>
        </is>
      </c>
      <c r="B6" s="5" t="inlineStr">
        <is>
          <t>EURUSD spot (USD per EUR)</t>
        </is>
      </c>
      <c r="C6" s="6" t="inlineStr">
        <is>
          <t>USD/EUR</t>
        </is>
      </c>
      <c r="D6" s="8" t="n">
        <v>1.1634</v>
      </c>
      <c r="E6" s="5" t="inlineStr">
        <is>
          <t>Given/market</t>
        </is>
      </c>
    </row>
    <row r="7">
      <c r="A7" s="4" t="inlineStr">
        <is>
          <t>F0_in</t>
        </is>
      </c>
      <c r="B7" s="5" t="inlineStr">
        <is>
          <t>1-year EURUSD forward</t>
        </is>
      </c>
      <c r="C7" s="6" t="inlineStr">
        <is>
          <t>USD/EUR</t>
        </is>
      </c>
      <c r="D7" s="8" t="n">
        <v>1.0875</v>
      </c>
      <c r="E7" s="5" t="inlineStr">
        <is>
          <t>Provided</t>
        </is>
      </c>
    </row>
    <row r="8">
      <c r="A8" s="4" t="inlineStr">
        <is>
          <t>R_USD</t>
        </is>
      </c>
      <c r="B8" s="5" t="inlineStr">
        <is>
          <t>USD 1-year interest rate</t>
        </is>
      </c>
      <c r="C8" s="6" t="inlineStr">
        <is>
          <t>%</t>
        </is>
      </c>
      <c r="D8" s="20" t="n">
        <v>0.0363</v>
      </c>
      <c r="E8" s="5" t="inlineStr">
        <is>
          <t>Given/market</t>
        </is>
      </c>
    </row>
    <row r="9">
      <c r="A9" s="4" t="inlineStr">
        <is>
          <t>R_FC</t>
        </is>
      </c>
      <c r="B9" s="5" t="inlineStr">
        <is>
          <t>EUR 1-year interest rate</t>
        </is>
      </c>
      <c r="C9" s="6" t="inlineStr">
        <is>
          <t>%</t>
        </is>
      </c>
      <c r="D9" s="20" t="n">
        <v>0.02268</v>
      </c>
      <c r="E9" s="5" t="inlineStr">
        <is>
          <t>Given/market</t>
        </is>
      </c>
    </row>
    <row r="10">
      <c r="A10" s="4" t="inlineStr">
        <is>
          <t>K_PUT</t>
        </is>
      </c>
      <c r="B10" s="5" t="inlineStr">
        <is>
          <t>EUR put strike (USD/EUR)</t>
        </is>
      </c>
      <c r="C10" s="6" t="inlineStr">
        <is>
          <t>USD/EUR</t>
        </is>
      </c>
      <c r="D10" s="8" t="n">
        <v>1.1634</v>
      </c>
      <c r="E10" s="5" t="inlineStr">
        <is>
          <t>Set at spot</t>
        </is>
      </c>
    </row>
    <row r="11">
      <c r="A11" s="4" t="inlineStr">
        <is>
          <t>K_CALL</t>
        </is>
      </c>
      <c r="B11" s="5" t="inlineStr">
        <is>
          <t>EUR call strike (USD/EUR)</t>
        </is>
      </c>
      <c r="C11" s="6" t="inlineStr">
        <is>
          <t>USD/EUR</t>
        </is>
      </c>
      <c r="D11" s="8" t="n">
        <v>1.1634</v>
      </c>
      <c r="E11" s="5" t="inlineStr">
        <is>
          <t>Set at spot</t>
        </is>
      </c>
    </row>
    <row r="12">
      <c r="A12" s="4" t="inlineStr">
        <is>
          <t>PREM_PUT</t>
        </is>
      </c>
      <c r="B12" s="5" t="inlineStr">
        <is>
          <t>Put premium (USD per EUR)</t>
        </is>
      </c>
      <c r="C12" s="6" t="inlineStr">
        <is>
          <t>USD/EUR</t>
        </is>
      </c>
      <c r="D12" s="8" t="n">
        <v>0.015</v>
      </c>
      <c r="E12" s="5" t="inlineStr">
        <is>
          <t>Scenario</t>
        </is>
      </c>
    </row>
    <row r="13">
      <c r="A13" s="4" t="inlineStr">
        <is>
          <t>PREM_CALL</t>
        </is>
      </c>
      <c r="B13" s="5" t="inlineStr">
        <is>
          <t>Call premium (USD per EUR)</t>
        </is>
      </c>
      <c r="C13" s="6" t="inlineStr">
        <is>
          <t>USD/EUR</t>
        </is>
      </c>
      <c r="D13" s="8" t="n">
        <v>0.018</v>
      </c>
      <c r="E13" s="5" t="inlineStr">
        <is>
          <t>Scenario</t>
        </is>
      </c>
    </row>
    <row r="14">
      <c r="A14" s="4" t="inlineStr">
        <is>
          <t>T_DAYS</t>
        </is>
      </c>
      <c r="B14" s="5" t="inlineStr">
        <is>
          <t>Time to maturity</t>
        </is>
      </c>
      <c r="C14" s="6" t="inlineStr">
        <is>
          <t>Days</t>
        </is>
      </c>
      <c r="D14" s="10" t="n">
        <v>360</v>
      </c>
      <c r="E14" s="5" t="inlineStr">
        <is>
          <t>Assignment convention</t>
        </is>
      </c>
    </row>
    <row r="15"/>
    <row r="16">
      <c r="A16" s="2" t="inlineStr">
        <is>
          <t>ASSUMPTIONS (Blue)</t>
        </is>
      </c>
    </row>
    <row r="17">
      <c r="A17" s="3" t="inlineStr">
        <is>
          <t>Named Range</t>
        </is>
      </c>
      <c r="B17" s="3" t="inlineStr">
        <is>
          <t>Description</t>
        </is>
      </c>
      <c r="C17" s="3" t="inlineStr">
        <is>
          <t>Unit</t>
        </is>
      </c>
      <c r="D17" s="3" t="inlineStr">
        <is>
          <t>Value</t>
        </is>
      </c>
      <c r="E17" s="3" t="inlineStr">
        <is>
          <t>Formula/Notes</t>
        </is>
      </c>
    </row>
    <row r="18">
      <c r="A18" s="11" t="inlineStr">
        <is>
          <t>T_YRS</t>
        </is>
      </c>
      <c r="B18" s="11" t="inlineStr">
        <is>
          <t>Time to maturity in years</t>
        </is>
      </c>
      <c r="C18" s="6" t="inlineStr">
        <is>
          <t>Years</t>
        </is>
      </c>
      <c r="D18" s="12" t="n">
        <v>1</v>
      </c>
      <c r="E18" s="11" t="inlineStr">
        <is>
          <t>Day-count = 360</t>
        </is>
      </c>
    </row>
    <row r="19"/>
    <row r="20">
      <c r="A20" s="2" t="inlineStr">
        <is>
          <t>MODEL OUTPUTS / KPI (Gray) + CALCULATIONS (Green)</t>
        </is>
      </c>
    </row>
    <row r="21">
      <c r="A21" s="2" t="inlineStr">
        <is>
          <t>Forward Hedge</t>
        </is>
      </c>
    </row>
    <row r="22">
      <c r="A22" s="3" t="inlineStr">
        <is>
          <t>Metric</t>
        </is>
      </c>
      <c r="B22" s="3" t="inlineStr">
        <is>
          <t>Units</t>
        </is>
      </c>
      <c r="C22" s="3" t="inlineStr">
        <is>
          <t>Value</t>
        </is>
      </c>
      <c r="D22" s="3" t="inlineStr">
        <is>
          <t>Formula</t>
        </is>
      </c>
    </row>
    <row r="23">
      <c r="A23" s="5" t="inlineStr">
        <is>
          <t>USD_forward</t>
        </is>
      </c>
      <c r="B23" s="5" t="inlineStr">
        <is>
          <t>Locked USD proceeds (forward)</t>
        </is>
      </c>
      <c r="C23" s="6" t="inlineStr">
        <is>
          <t>USD</t>
        </is>
      </c>
      <c r="D23" s="21">
        <f>FC_AMT*F0_in</f>
        <v/>
      </c>
      <c r="E23" s="5">
        <f>FC_AMT*F0_in</f>
        <v/>
      </c>
    </row>
    <row r="24"/>
    <row r="25">
      <c r="A25" s="2" t="inlineStr">
        <is>
          <t>Money Market Hedge (3-step)</t>
        </is>
      </c>
    </row>
    <row r="26">
      <c r="A26" s="3" t="inlineStr">
        <is>
          <t>Step</t>
        </is>
      </c>
      <c r="B26" s="3" t="inlineStr">
        <is>
          <t>Description</t>
        </is>
      </c>
      <c r="C26" s="3" t="inlineStr">
        <is>
          <t>Units</t>
        </is>
      </c>
      <c r="D26" s="3" t="inlineStr">
        <is>
          <t>Value</t>
        </is>
      </c>
      <c r="E26" s="3" t="inlineStr">
        <is>
          <t>Formula</t>
        </is>
      </c>
    </row>
    <row r="27">
      <c r="A27" s="5" t="inlineStr">
        <is>
          <t>1</t>
        </is>
      </c>
      <c r="B27" s="5" t="inlineStr">
        <is>
          <t>Borrow EUR today (PV of receivable)</t>
        </is>
      </c>
      <c r="C27" s="6" t="inlineStr">
        <is>
          <t>EUR</t>
        </is>
      </c>
      <c r="D27" s="14">
        <f>FC_AMT/(1+R_FC*T_YRS)</f>
        <v/>
      </c>
      <c r="E27" s="5">
        <f>FC_AMT/(1+R_FC*T_YRS)</f>
        <v/>
      </c>
    </row>
    <row r="28">
      <c r="A28" s="5" t="inlineStr">
        <is>
          <t>2</t>
        </is>
      </c>
      <c r="B28" s="5" t="inlineStr">
        <is>
          <t>Convert borrowed EUR to USD at spot</t>
        </is>
      </c>
      <c r="C28" s="6" t="inlineStr">
        <is>
          <t>USD</t>
        </is>
      </c>
      <c r="D28" s="22">
        <f>D27*S0_in</f>
        <v/>
      </c>
      <c r="E28" s="5">
        <f>Borrow_EUR_PV * S0_in</f>
        <v/>
      </c>
    </row>
    <row r="29">
      <c r="A29" s="5" t="inlineStr">
        <is>
          <t>3</t>
        </is>
      </c>
      <c r="B29" s="5" t="inlineStr">
        <is>
          <t>Invest USD for T_YRS</t>
        </is>
      </c>
      <c r="C29" s="6" t="inlineStr">
        <is>
          <t>USD</t>
        </is>
      </c>
      <c r="D29" s="22">
        <f>D28*(1+R_USD*T_YRS)</f>
        <v/>
      </c>
      <c r="E29" s="5">
        <f>USD_spot * (1+R_USD*T_YRS)</f>
        <v/>
      </c>
    </row>
    <row r="31">
      <c r="A31" s="2" t="inlineStr">
        <is>
          <t>Parity Check</t>
        </is>
      </c>
    </row>
    <row r="32">
      <c r="A32" s="3" t="inlineStr">
        <is>
          <t>Check</t>
        </is>
      </c>
      <c r="B32" s="3" t="inlineStr">
        <is>
          <t>Value</t>
        </is>
      </c>
      <c r="C32" s="3" t="inlineStr">
        <is>
          <t>Threshold</t>
        </is>
      </c>
      <c r="D32" s="3" t="inlineStr">
        <is>
          <t>Status</t>
        </is>
      </c>
    </row>
    <row r="33">
      <c r="A33" s="5" t="inlineStr">
        <is>
          <t>USD_mm - USD_forward</t>
        </is>
      </c>
      <c r="B33" s="23">
        <f>USD_mm-USD_forward</f>
        <v/>
      </c>
      <c r="C33" s="6" t="inlineStr">
        <is>
          <t>≈ 0</t>
        </is>
      </c>
      <c r="D33" s="17">
        <f>IF(ABS(B33)&lt;1000,"OK","Check")</f>
        <v/>
      </c>
    </row>
    <row r="34"/>
    <row r="35">
      <c r="A35" s="2" t="inlineStr">
        <is>
          <t>Option Hedges (Base Case S_T = S0_in)</t>
        </is>
      </c>
    </row>
    <row r="36">
      <c r="A36" s="3" t="inlineStr">
        <is>
          <t>Metric</t>
        </is>
      </c>
      <c r="B36" s="3" t="inlineStr">
        <is>
          <t>Units</t>
        </is>
      </c>
      <c r="C36" s="3" t="inlineStr">
        <is>
          <t>Value</t>
        </is>
      </c>
      <c r="D36" s="3" t="inlineStr">
        <is>
          <t>Formula</t>
        </is>
      </c>
    </row>
    <row r="37">
      <c r="A37" s="5" t="inlineStr">
        <is>
          <t>Prem_put_total</t>
        </is>
      </c>
      <c r="B37" s="5" t="inlineStr">
        <is>
          <t>Total put premium (USD)</t>
        </is>
      </c>
      <c r="C37" s="6" t="inlineStr">
        <is>
          <t>USD</t>
        </is>
      </c>
      <c r="D37" s="22">
        <f>FC_AMT*PREM_PUT</f>
        <v/>
      </c>
      <c r="E37" s="5">
        <f>FC_AMT*PREM_PUT</f>
        <v/>
      </c>
    </row>
    <row r="38">
      <c r="A38" s="5" t="inlineStr">
        <is>
          <t>Prem_call_total</t>
        </is>
      </c>
      <c r="B38" s="5" t="inlineStr">
        <is>
          <t>Total call premium (USD)</t>
        </is>
      </c>
      <c r="C38" s="6" t="inlineStr">
        <is>
          <t>USD</t>
        </is>
      </c>
      <c r="D38" s="22">
        <f>FC_AMT*PREM_CALL</f>
        <v/>
      </c>
      <c r="E38" s="5">
        <f>FC_AMT*PREM_CALL</f>
        <v/>
      </c>
    </row>
    <row r="39"/>
    <row r="40">
      <c r="A40" s="11" t="inlineStr">
        <is>
          <t>S_T_base</t>
        </is>
      </c>
      <c r="B40" s="11" t="inlineStr">
        <is>
          <t>Base ending spot used for point estimate</t>
        </is>
      </c>
      <c r="C40" s="6" t="inlineStr">
        <is>
          <t>USD/EUR</t>
        </is>
      </c>
      <c r="D40" s="12">
        <f>S0_in</f>
        <v/>
      </c>
      <c r="E40" s="11">
        <f>S0_in</f>
        <v/>
      </c>
    </row>
    <row r="41">
      <c r="A41" s="5" t="inlineStr">
        <is>
          <t>USD_put_base</t>
        </is>
      </c>
      <c r="B41" s="5" t="inlineStr">
        <is>
          <t>USD proceeds with EUR put (base)</t>
        </is>
      </c>
      <c r="C41" s="6" t="inlineStr">
        <is>
          <t>USD</t>
        </is>
      </c>
      <c r="D41" s="21">
        <f>FC_AMT*MAX(S_T_base,K_PUT) - FC_AMT*PREM_PUT</f>
        <v/>
      </c>
      <c r="E41" s="5">
        <f>FC_AMT*MAX(S_T,K_PUT)-premium</f>
        <v/>
      </c>
    </row>
    <row r="42">
      <c r="A42" s="5" t="inlineStr">
        <is>
          <t>USD_call_base</t>
        </is>
      </c>
      <c r="B42" s="5" t="inlineStr">
        <is>
          <t>USD proceeds with EUR call (base)</t>
        </is>
      </c>
      <c r="C42" s="6" t="inlineStr">
        <is>
          <t>USD</t>
        </is>
      </c>
      <c r="D42" s="21">
        <f>FC_AMT*S_T_base + MAX(S_T_base-K_CALL,0)*FC_AMT - FC_AMT*PREM_CALL</f>
        <v/>
      </c>
      <c r="E42" s="5">
        <f>Unhedged + payoff - premium</f>
        <v/>
      </c>
    </row>
    <row r="43"/>
    <row r="44">
      <c r="A44" s="2" t="inlineStr">
        <is>
          <t>Sensitivity Table (±5% around S0_in, 1% increments)</t>
        </is>
      </c>
    </row>
    <row r="45">
      <c r="A45" s="3" t="inlineStr">
        <is>
          <t>Pct</t>
        </is>
      </c>
      <c r="B45" s="3" t="inlineStr">
        <is>
          <t>S_T</t>
        </is>
      </c>
      <c r="C45" s="3" t="inlineStr">
        <is>
          <t>Unhedged USD</t>
        </is>
      </c>
      <c r="D45" s="3" t="inlineStr">
        <is>
          <t>Forward USD</t>
        </is>
      </c>
      <c r="E45" s="3" t="inlineStr">
        <is>
          <t>MoneyMarket USD</t>
        </is>
      </c>
      <c r="F45" s="3" t="inlineStr">
        <is>
          <t>Put USD</t>
        </is>
      </c>
      <c r="G45" s="3" t="inlineStr">
        <is>
          <t>Call USD</t>
        </is>
      </c>
    </row>
    <row r="46">
      <c r="A46" t="inlineStr">
        <is>
          <t>-5%</t>
        </is>
      </c>
      <c r="B46" s="14">
        <f>S0_in*(1+-5/100)</f>
        <v/>
      </c>
      <c r="C46" s="24">
        <f>FC_AMT*B46</f>
        <v/>
      </c>
      <c r="D46" s="21">
        <f>USD_forward</f>
        <v/>
      </c>
      <c r="E46" s="21">
        <f>USD_mm</f>
        <v/>
      </c>
      <c r="F46" s="21">
        <f>FC_AMT*MAX(B46,K_PUT) - FC_AMT*PREM_PUT</f>
        <v/>
      </c>
      <c r="G46" s="21">
        <f>FC_AMT*B46 + MAX(B46-K_CALL,0)*FC_AMT - FC_AMT*PREM_CALL</f>
        <v/>
      </c>
    </row>
    <row r="47">
      <c r="A47" t="inlineStr">
        <is>
          <t>-4%</t>
        </is>
      </c>
      <c r="B47" s="14">
        <f>S0_in*(1+-4/100)</f>
        <v/>
      </c>
      <c r="C47" s="24">
        <f>FC_AMT*B47</f>
        <v/>
      </c>
      <c r="D47" s="21">
        <f>USD_forward</f>
        <v/>
      </c>
      <c r="E47" s="21">
        <f>USD_mm</f>
        <v/>
      </c>
      <c r="F47" s="21">
        <f>FC_AMT*MAX(B47,K_PUT) - FC_AMT*PREM_PUT</f>
        <v/>
      </c>
      <c r="G47" s="21">
        <f>FC_AMT*B47 + MAX(B47-K_CALL,0)*FC_AMT - FC_AMT*PREM_CALL</f>
        <v/>
      </c>
    </row>
    <row r="48">
      <c r="A48" t="inlineStr">
        <is>
          <t>-3%</t>
        </is>
      </c>
      <c r="B48" s="14">
        <f>S0_in*(1+-3/100)</f>
        <v/>
      </c>
      <c r="C48" s="24">
        <f>FC_AMT*B48</f>
        <v/>
      </c>
      <c r="D48" s="21">
        <f>USD_forward</f>
        <v/>
      </c>
      <c r="E48" s="21">
        <f>USD_mm</f>
        <v/>
      </c>
      <c r="F48" s="21">
        <f>FC_AMT*MAX(B48,K_PUT) - FC_AMT*PREM_PUT</f>
        <v/>
      </c>
      <c r="G48" s="21">
        <f>FC_AMT*B48 + MAX(B48-K_CALL,0)*FC_AMT - FC_AMT*PREM_CALL</f>
        <v/>
      </c>
    </row>
    <row r="49">
      <c r="A49" t="inlineStr">
        <is>
          <t>-2%</t>
        </is>
      </c>
      <c r="B49" s="14">
        <f>S0_in*(1+-2/100)</f>
        <v/>
      </c>
      <c r="C49" s="24">
        <f>FC_AMT*B49</f>
        <v/>
      </c>
      <c r="D49" s="21">
        <f>USD_forward</f>
        <v/>
      </c>
      <c r="E49" s="21">
        <f>USD_mm</f>
        <v/>
      </c>
      <c r="F49" s="21">
        <f>FC_AMT*MAX(B49,K_PUT) - FC_AMT*PREM_PUT</f>
        <v/>
      </c>
      <c r="G49" s="21">
        <f>FC_AMT*B49 + MAX(B49-K_CALL,0)*FC_AMT - FC_AMT*PREM_CALL</f>
        <v/>
      </c>
    </row>
    <row r="50">
      <c r="A50" t="inlineStr">
        <is>
          <t>-1%</t>
        </is>
      </c>
      <c r="B50" s="14">
        <f>S0_in*(1+-1/100)</f>
        <v/>
      </c>
      <c r="C50" s="24">
        <f>FC_AMT*B50</f>
        <v/>
      </c>
      <c r="D50" s="21">
        <f>USD_forward</f>
        <v/>
      </c>
      <c r="E50" s="21">
        <f>USD_mm</f>
        <v/>
      </c>
      <c r="F50" s="21">
        <f>FC_AMT*MAX(B50,K_PUT) - FC_AMT*PREM_PUT</f>
        <v/>
      </c>
      <c r="G50" s="21">
        <f>FC_AMT*B50 + MAX(B50-K_CALL,0)*FC_AMT - FC_AMT*PREM_CALL</f>
        <v/>
      </c>
    </row>
    <row r="51">
      <c r="A51" t="inlineStr">
        <is>
          <t>+0%</t>
        </is>
      </c>
      <c r="B51" s="14">
        <f>S0_in*(1+0/100)</f>
        <v/>
      </c>
      <c r="C51" s="24">
        <f>FC_AMT*B51</f>
        <v/>
      </c>
      <c r="D51" s="21">
        <f>USD_forward</f>
        <v/>
      </c>
      <c r="E51" s="21">
        <f>USD_mm</f>
        <v/>
      </c>
      <c r="F51" s="21">
        <f>FC_AMT*MAX(B51,K_PUT) - FC_AMT*PREM_PUT</f>
        <v/>
      </c>
      <c r="G51" s="21">
        <f>FC_AMT*B51 + MAX(B51-K_CALL,0)*FC_AMT - FC_AMT*PREM_CALL</f>
        <v/>
      </c>
    </row>
    <row r="52">
      <c r="A52" t="inlineStr">
        <is>
          <t>+1%</t>
        </is>
      </c>
      <c r="B52" s="14">
        <f>S0_in*(1+1/100)</f>
        <v/>
      </c>
      <c r="C52" s="24">
        <f>FC_AMT*B52</f>
        <v/>
      </c>
      <c r="D52" s="21">
        <f>USD_forward</f>
        <v/>
      </c>
      <c r="E52" s="21">
        <f>USD_mm</f>
        <v/>
      </c>
      <c r="F52" s="21">
        <f>FC_AMT*MAX(B52,K_PUT) - FC_AMT*PREM_PUT</f>
        <v/>
      </c>
      <c r="G52" s="21">
        <f>FC_AMT*B52 + MAX(B52-K_CALL,0)*FC_AMT - FC_AMT*PREM_CALL</f>
        <v/>
      </c>
    </row>
    <row r="53">
      <c r="A53" t="inlineStr">
        <is>
          <t>+2%</t>
        </is>
      </c>
      <c r="B53" s="14">
        <f>S0_in*(1+2/100)</f>
        <v/>
      </c>
      <c r="C53" s="24">
        <f>FC_AMT*B53</f>
        <v/>
      </c>
      <c r="D53" s="21">
        <f>USD_forward</f>
        <v/>
      </c>
      <c r="E53" s="21">
        <f>USD_mm</f>
        <v/>
      </c>
      <c r="F53" s="21">
        <f>FC_AMT*MAX(B53,K_PUT) - FC_AMT*PREM_PUT</f>
        <v/>
      </c>
      <c r="G53" s="21">
        <f>FC_AMT*B53 + MAX(B53-K_CALL,0)*FC_AMT - FC_AMT*PREM_CALL</f>
        <v/>
      </c>
    </row>
    <row r="54">
      <c r="A54" t="inlineStr">
        <is>
          <t>+3%</t>
        </is>
      </c>
      <c r="B54" s="14">
        <f>S0_in*(1+3/100)</f>
        <v/>
      </c>
      <c r="C54" s="24">
        <f>FC_AMT*B54</f>
        <v/>
      </c>
      <c r="D54" s="21">
        <f>USD_forward</f>
        <v/>
      </c>
      <c r="E54" s="21">
        <f>USD_mm</f>
        <v/>
      </c>
      <c r="F54" s="21">
        <f>FC_AMT*MAX(B54,K_PUT) - FC_AMT*PREM_PUT</f>
        <v/>
      </c>
      <c r="G54" s="21">
        <f>FC_AMT*B54 + MAX(B54-K_CALL,0)*FC_AMT - FC_AMT*PREM_CALL</f>
        <v/>
      </c>
    </row>
    <row r="55">
      <c r="A55" t="inlineStr">
        <is>
          <t>+4%</t>
        </is>
      </c>
      <c r="B55" s="14">
        <f>S0_in*(1+4/100)</f>
        <v/>
      </c>
      <c r="C55" s="24">
        <f>FC_AMT*B55</f>
        <v/>
      </c>
      <c r="D55" s="21">
        <f>USD_forward</f>
        <v/>
      </c>
      <c r="E55" s="21">
        <f>USD_mm</f>
        <v/>
      </c>
      <c r="F55" s="21">
        <f>FC_AMT*MAX(B55,K_PUT) - FC_AMT*PREM_PUT</f>
        <v/>
      </c>
      <c r="G55" s="21">
        <f>FC_AMT*B55 + MAX(B55-K_CALL,0)*FC_AMT - FC_AMT*PREM_CALL</f>
        <v/>
      </c>
    </row>
    <row r="56">
      <c r="A56" t="inlineStr">
        <is>
          <t>+5%</t>
        </is>
      </c>
      <c r="B56" s="14">
        <f>S0_in*(1+5/100)</f>
        <v/>
      </c>
      <c r="C56" s="24">
        <f>FC_AMT*B56</f>
        <v/>
      </c>
      <c r="D56" s="21">
        <f>USD_forward</f>
        <v/>
      </c>
      <c r="E56" s="21">
        <f>USD_mm</f>
        <v/>
      </c>
      <c r="F56" s="21">
        <f>FC_AMT*MAX(B56,K_PUT) - FC_AMT*PREM_PUT</f>
        <v/>
      </c>
      <c r="G56" s="21">
        <f>FC_AMT*B56 + MAX(B56-K_CALL,0)*FC_AMT - FC_AMT*PREM_CALL</f>
        <v/>
      </c>
    </row>
    <row r="57"/>
    <row r="58">
      <c r="A58" s="2" t="inlineStr">
        <is>
          <t>Notes</t>
        </is>
      </c>
    </row>
    <row r="59">
      <c r="A59" s="19" t="inlineStr">
        <is>
          <t>• Inputs are yellow and use the required standardized named ranges.
• Money Market hedge is shown step-by-step; parity check compares USD_mm vs USD_forward (difference should be near $0).
• Put hedge uses: USD = FC_AMT*MAX(S_T, K_PUT) − FC_AMT*PREM_PUT.
• Sensitivity grid varies S_T from 0.95×S0 to 1.05×S0 (1% increments).</t>
        </is>
      </c>
    </row>
    <row r="60"/>
    <row r="61"/>
    <row r="62"/>
    <row r="63"/>
  </sheetData>
  <mergeCells count="1">
    <mergeCell ref="A59:E6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.7109375" customWidth="1" min="1" max="1"/>
    <col width="14.7109375" customWidth="1" min="2" max="2"/>
    <col width="18.7109375" customWidth="1" min="3" max="3"/>
    <col width="64.7109375" customWidth="1" min="4" max="4"/>
  </cols>
  <sheetData>
    <row r="1">
      <c r="A1" s="1" t="inlineStr">
        <is>
          <t>Formula Mapping (Audit Trail)</t>
        </is>
      </c>
    </row>
    <row r="3">
      <c r="A3" s="3" t="inlineStr">
        <is>
          <t>Item</t>
        </is>
      </c>
      <c r="B3" s="3" t="inlineStr">
        <is>
          <t>Cell</t>
        </is>
      </c>
      <c r="C3" s="3" t="inlineStr">
        <is>
          <t>Named Range</t>
        </is>
      </c>
      <c r="D3" s="3" t="inlineStr">
        <is>
          <t>Formula/Value</t>
        </is>
      </c>
    </row>
    <row r="4">
      <c r="A4" s="5" t="inlineStr">
        <is>
          <t>FC Amount</t>
        </is>
      </c>
      <c r="B4" s="5" t="inlineStr">
        <is>
          <t>D5</t>
        </is>
      </c>
      <c r="C4" s="5" t="inlineStr">
        <is>
          <t>FC_AMT</t>
        </is>
      </c>
      <c r="D4" s="5" t="inlineStr">
        <is>
          <t>20,000,000</t>
        </is>
      </c>
    </row>
    <row r="5">
      <c r="A5" s="5" t="inlineStr">
        <is>
          <t>Spot</t>
        </is>
      </c>
      <c r="B5" s="5" t="inlineStr">
        <is>
          <t>D6</t>
        </is>
      </c>
      <c r="C5" s="5" t="inlineStr">
        <is>
          <t>S0_in</t>
        </is>
      </c>
      <c r="D5" s="5" t="inlineStr">
        <is>
          <t>1.1740</t>
        </is>
      </c>
    </row>
    <row r="6">
      <c r="A6" s="5" t="inlineStr">
        <is>
          <t>Forward</t>
        </is>
      </c>
      <c r="B6" s="5" t="inlineStr">
        <is>
          <t>D7</t>
        </is>
      </c>
      <c r="C6" s="5" t="inlineStr">
        <is>
          <t>F0_in</t>
        </is>
      </c>
      <c r="D6" s="5" t="inlineStr">
        <is>
          <t>1.0935</t>
        </is>
      </c>
    </row>
    <row r="7">
      <c r="A7" s="5" t="inlineStr">
        <is>
          <t>USD Rate</t>
        </is>
      </c>
      <c r="B7" s="5" t="inlineStr">
        <is>
          <t>D8</t>
        </is>
      </c>
      <c r="C7" s="5" t="inlineStr">
        <is>
          <t>R_USD</t>
        </is>
      </c>
      <c r="D7" s="5" t="inlineStr">
        <is>
          <t>4.25%</t>
        </is>
      </c>
    </row>
    <row r="8">
      <c r="A8" s="5" t="inlineStr">
        <is>
          <t>EUR Rate</t>
        </is>
      </c>
      <c r="B8" s="5" t="inlineStr">
        <is>
          <t>D9</t>
        </is>
      </c>
      <c r="C8" s="5" t="inlineStr">
        <is>
          <t>R_FC</t>
        </is>
      </c>
      <c r="D8" s="5" t="inlineStr">
        <is>
          <t>2.15%</t>
        </is>
      </c>
    </row>
    <row r="9">
      <c r="A9" s="5" t="inlineStr">
        <is>
          <t>T_YRS</t>
        </is>
      </c>
      <c r="B9" s="5" t="inlineStr">
        <is>
          <t>D18</t>
        </is>
      </c>
      <c r="C9" s="5" t="inlineStr">
        <is>
          <t>T_YRS</t>
        </is>
      </c>
      <c r="D9" s="5">
        <f>T_DAYS/360</f>
        <v/>
      </c>
    </row>
    <row r="10">
      <c r="A10" s="5" t="inlineStr">
        <is>
          <t>USD_forward</t>
        </is>
      </c>
      <c r="B10" s="5" t="inlineStr">
        <is>
          <t>D23</t>
        </is>
      </c>
      <c r="C10" s="5" t="inlineStr">
        <is>
          <t>USD_forward</t>
        </is>
      </c>
      <c r="D10" s="5">
        <f>FC_AMT*F0_in</f>
        <v/>
      </c>
    </row>
    <row r="11">
      <c r="A11" s="5" t="inlineStr">
        <is>
          <t>Borrow EUR PV</t>
        </is>
      </c>
      <c r="B11" s="5" t="inlineStr">
        <is>
          <t>D27</t>
        </is>
      </c>
      <c r="C11" s="5" t="inlineStr">
        <is>
          <t>MM_BORROW_EUR_PV</t>
        </is>
      </c>
      <c r="D11" s="5">
        <f>FC_AMT/(1+R_FC*T_YRS)</f>
        <v/>
      </c>
    </row>
    <row r="12">
      <c r="A12" s="5" t="inlineStr">
        <is>
          <t>USD now</t>
        </is>
      </c>
      <c r="B12" s="5" t="inlineStr">
        <is>
          <t>D28</t>
        </is>
      </c>
      <c r="C12" s="5" t="inlineStr">
        <is>
          <t>MM_USD_NOW</t>
        </is>
      </c>
      <c r="D12" s="5">
        <f>D27*S0_in</f>
        <v/>
      </c>
    </row>
    <row r="13">
      <c r="A13" s="5" t="inlineStr">
        <is>
          <t>USD_mm</t>
        </is>
      </c>
      <c r="B13" s="5" t="inlineStr">
        <is>
          <t>D29</t>
        </is>
      </c>
      <c r="C13" s="5" t="inlineStr">
        <is>
          <t>USD_mm</t>
        </is>
      </c>
      <c r="D13" s="5">
        <f>D28*(1+R_USD*T_YRS)</f>
        <v/>
      </c>
    </row>
    <row r="14">
      <c r="A14" s="5" t="inlineStr">
        <is>
          <t>Put premium total</t>
        </is>
      </c>
      <c r="B14" s="5" t="inlineStr">
        <is>
          <t>D37</t>
        </is>
      </c>
      <c r="C14" s="5" t="n"/>
      <c r="D14" s="5">
        <f>FC_AMT*PREM_PUT</f>
        <v/>
      </c>
    </row>
    <row r="15">
      <c r="A15" s="5" t="inlineStr">
        <is>
          <t>Call premium total</t>
        </is>
      </c>
      <c r="B15" s="5" t="inlineStr">
        <is>
          <t>D38</t>
        </is>
      </c>
      <c r="C15" s="5" t="n"/>
      <c r="D15" s="5">
        <f>FC_AMT*PREM_CALL</f>
        <v/>
      </c>
    </row>
    <row r="16">
      <c r="A16" s="5" t="inlineStr">
        <is>
          <t>Put base proceeds</t>
        </is>
      </c>
      <c r="B16" s="5" t="inlineStr">
        <is>
          <t>D41</t>
        </is>
      </c>
      <c r="C16" s="5" t="n"/>
      <c r="D16" s="5">
        <f>FC_AMT*MAX(S_T_base,K_PUT)-FC_AMT*PREM_PUT</f>
        <v/>
      </c>
    </row>
    <row r="17">
      <c r="A17" s="5" t="inlineStr">
        <is>
          <t>Call base proceeds</t>
        </is>
      </c>
      <c r="B17" s="5" t="inlineStr">
        <is>
          <t>D42</t>
        </is>
      </c>
      <c r="C17" s="5" t="n"/>
      <c r="D17" s="5">
        <f>FC_AMT*S_T_base + MAX(S_T_base-K_CALL,0)*FC_AMT - FC_AMT*PREM_CALL</f>
        <v/>
      </c>
    </row>
    <row r="18">
      <c r="A18" s="2" t="inlineStr">
        <is>
          <t>Verification Checklist</t>
        </is>
      </c>
    </row>
    <row r="19">
      <c r="A19" s="3" t="inlineStr">
        <is>
          <t>Check</t>
        </is>
      </c>
      <c r="B19" s="3" t="inlineStr">
        <is>
          <t>Where</t>
        </is>
      </c>
      <c r="C19" s="3" t="inlineStr">
        <is>
          <t>Expected</t>
        </is>
      </c>
    </row>
    <row r="20">
      <c r="A20" s="5" t="inlineStr">
        <is>
          <t>Parity: MM vs Forward</t>
        </is>
      </c>
      <c r="B20" s="5" t="inlineStr">
        <is>
          <t>Model!B33:D33</t>
        </is>
      </c>
      <c r="C20" s="5" t="inlineStr">
        <is>
          <t>Difference near $0</t>
        </is>
      </c>
    </row>
    <row r="21">
      <c r="A21" s="5" t="inlineStr">
        <is>
          <t>Named ranges exist</t>
        </is>
      </c>
      <c r="B21" s="5" t="inlineStr">
        <is>
          <t>Excel Name Manager</t>
        </is>
      </c>
      <c r="C21" s="5" t="inlineStr">
        <is>
          <t>All required names present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2025-12-12T08:35:24Z</dcterms:created>
  <dcterms:modified xmlns:dcterms="http://purl.org/dc/terms/" xmlns:xsi="http://www.w3.org/2001/XMLSchema-instance" xsi:type="dcterms:W3CDTF">2025-12-12T10:12:56Z</dcterms:modified>
</cp:coreProperties>
</file>